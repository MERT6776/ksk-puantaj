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t\Downloads\"/>
    </mc:Choice>
  </mc:AlternateContent>
  <xr:revisionPtr revIDLastSave="0" documentId="13_ncr:1_{C7BB000A-E1A3-41DA-B929-CDC0DEDDC999}" xr6:coauthVersionLast="47" xr6:coauthVersionMax="47" xr10:uidLastSave="{00000000-0000-0000-0000-000000000000}"/>
  <bookViews>
    <workbookView xWindow="-120" yWindow="-120" windowWidth="51840" windowHeight="21120" xr2:uid="{0E05A1C2-EA0E-447C-8303-3BDD6CC15BB8}"/>
  </bookViews>
  <sheets>
    <sheet name="Sayfa1" sheetId="1" r:id="rId1"/>
  </sheets>
  <definedNames>
    <definedName name="_xlnm._FilterDatabase" localSheetId="0" hidden="1">Sayfa1!$A$1:$AI$7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1" l="1"/>
  <c r="AH8" i="1"/>
  <c r="AI6" i="1"/>
  <c r="AH6" i="1"/>
  <c r="AI4" i="1"/>
  <c r="AH4" i="1"/>
  <c r="AI2" i="1"/>
  <c r="A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tc={944D7E38-009B-4E78-97A4-A061FEB24C68}</author>
  </authors>
  <commentList>
    <comment ref="U1" authorId="0" shapeId="0" xr:uid="{944D7E38-009B-4E78-97A4-A061FEB24C68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Para Dağıtım Günü</t>
      </text>
    </comment>
  </commentList>
</comments>
</file>

<file path=xl/sharedStrings.xml><?xml version="1.0" encoding="utf-8"?>
<sst xmlns="http://schemas.openxmlformats.org/spreadsheetml/2006/main" count="146" uniqueCount="23">
  <si>
    <t>GÖREVİ</t>
  </si>
  <si>
    <t>FİORİ NO</t>
  </si>
  <si>
    <t>N-M</t>
  </si>
  <si>
    <t>N=Gün</t>
  </si>
  <si>
    <t>N</t>
  </si>
  <si>
    <t>HTÇ</t>
  </si>
  <si>
    <t>BÇ</t>
  </si>
  <si>
    <t>M=SAAT</t>
  </si>
  <si>
    <t>Personele Ödenecek Gün</t>
  </si>
  <si>
    <t>Saatlik Fazla Mesai</t>
  </si>
  <si>
    <t>Üİ</t>
  </si>
  <si>
    <t>DOĞUM YILI</t>
  </si>
  <si>
    <t>AD SOYAD</t>
  </si>
  <si>
    <t>KADİR DEMİR</t>
  </si>
  <si>
    <t>İLKER SEZGİN</t>
  </si>
  <si>
    <t>MERT DÜZCÜK</t>
  </si>
  <si>
    <t>İLYAS YİĞİT</t>
  </si>
  <si>
    <t>DESTEK HİZMETLER DİREKTÖRÜ</t>
  </si>
  <si>
    <t>İNSAN KAYNAKLARI ŞEFİ</t>
  </si>
  <si>
    <t>İNSAN KAYNAKLARI UZMANI</t>
  </si>
  <si>
    <t>KALAN YILLIK İZİN</t>
  </si>
  <si>
    <t>KALAN SÜRE 25 GÜN</t>
  </si>
  <si>
    <t>İŞE GİRİŞ TARİHİ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</si>
</sst>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hh:mm;@"/>
    <numFmt numFmtId="165" formatCode="0.0;[Red]0.0"/>
    <numFmt numFmtId="166" formatCode="0;[Red]0"/>
  </numFmts>
  <fonts count="1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color theme="1"/>
      <name val="Aptos Narrow"/>
      <family val="2"/>
      <charset val="162"/>
      <scheme val="minor"/>
    </font>
    <font>
      <sz val="16"/>
      <color theme="1"/>
      <name val="Aptos Narrow"/>
      <family val="2"/>
      <charset val="162"/>
      <scheme val="minor"/>
    </font>
    <font>
      <b/>
      <sz val="16"/>
      <color theme="1"/>
      <name val="Aptos Narrow"/>
      <family val="2"/>
      <charset val="162"/>
      <scheme val="minor"/>
    </font>
    <font>
      <b/>
      <sz val="14"/>
      <name val="Aptos Narrow"/>
      <family val="2"/>
      <charset val="162"/>
      <scheme val="minor"/>
    </font>
    <font>
      <sz val="1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14" fontId="5" fillId="4" borderId="4" xfId="0" applyNumberFormat="1" applyFont="1" applyFill="1" applyBorder="1" applyAlignment="1">
      <alignment horizontal="center" vertical="center" textRotation="90"/>
    </xf>
    <xf numFmtId="14" fontId="5" fillId="5" borderId="4" xfId="0" applyNumberFormat="1" applyFont="1" applyFill="1" applyBorder="1" applyAlignment="1">
      <alignment horizontal="center" vertical="center" textRotation="90"/>
    </xf>
    <xf numFmtId="0" fontId="3" fillId="3" borderId="2" xfId="2" applyNumberFormat="1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Protection="1">
      <protection locked="0"/>
    </xf>
    <xf numFmtId="164" fontId="6" fillId="0" borderId="3" xfId="0" applyNumberFormat="1" applyFont="1" applyBorder="1" applyAlignment="1" applyProtection="1">
      <alignment horizontal="center" vertical="center"/>
      <protection locked="0"/>
    </xf>
    <xf numFmtId="0" fontId="7" fillId="6" borderId="3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5" fontId="8" fillId="5" borderId="5" xfId="0" applyNumberFormat="1" applyFont="1" applyFill="1" applyBorder="1" applyAlignment="1" applyProtection="1">
      <alignment horizontal="center" vertical="center" wrapText="1"/>
      <protection locked="0"/>
    </xf>
    <xf numFmtId="166" fontId="8" fillId="5" borderId="5" xfId="0" applyNumberFormat="1" applyFont="1" applyFill="1" applyBorder="1" applyAlignment="1" applyProtection="1">
      <alignment horizontal="center" vertical="center" wrapText="1"/>
      <protection locked="0"/>
    </xf>
    <xf numFmtId="165" fontId="9" fillId="0" borderId="2" xfId="1" applyNumberFormat="1" applyFont="1" applyFill="1" applyBorder="1" applyAlignment="1" applyProtection="1">
      <alignment horizontal="center" vertical="center"/>
      <protection locked="0"/>
    </xf>
    <xf numFmtId="165" fontId="9" fillId="0" borderId="3" xfId="1" applyNumberFormat="1" applyFont="1" applyFill="1" applyBorder="1" applyAlignment="1" applyProtection="1">
      <alignment horizontal="center" vertical="center"/>
      <protection locked="0"/>
    </xf>
    <xf numFmtId="166" fontId="9" fillId="7" borderId="2" xfId="1" applyNumberFormat="1" applyFont="1" applyFill="1" applyBorder="1" applyAlignment="1" applyProtection="1">
      <alignment horizontal="center" vertical="center"/>
      <protection locked="0"/>
    </xf>
    <xf numFmtId="166" fontId="9" fillId="7" borderId="3" xfId="1" applyNumberFormat="1" applyFont="1" applyFill="1" applyBorder="1" applyAlignment="1" applyProtection="1">
      <alignment horizontal="center" vertical="center"/>
      <protection locked="0"/>
    </xf>
    <xf numFmtId="1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/>
    <xf numFmtId="14" fontId="8" fillId="5" borderId="5" xfId="0" applyNumberFormat="1" applyFont="1" applyFill="1" applyBorder="1" applyAlignment="1" applyProtection="1">
      <alignment horizontal="center" vertical="center" wrapText="1"/>
      <protection locked="0"/>
    </xf>
    <xf numFmtId="14" fontId="9" fillId="0" borderId="2" xfId="1" applyNumberFormat="1" applyFont="1" applyFill="1" applyBorder="1" applyAlignment="1" applyProtection="1">
      <alignment horizontal="center" vertical="center"/>
      <protection locked="0"/>
    </xf>
    <xf numFmtId="14" fontId="9" fillId="0" borderId="3" xfId="1" applyNumberFormat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ParaBirimi" xfId="2" builtinId="4"/>
    <cellStyle name="Virgül" xfId="1" builtinId="3"/>
  </cellStyles>
  <dxfs count="19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" dT="2026-03-16T11:43:31.65" personId="{00000000-0000-0000-0000-000000000000}" id="{944D7E38-009B-4E78-97A4-A061FEB24C68}">
    <text>Para Dağıtım Günü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F0FD06-E4E8-4E53-B0F3-8182C6297A54}">
  <we:reference id="wa200010725" version="1.0.0.1" store="tr-TR" storeType="OMEX"/>
  <we:alternateReferences>
    <we:reference id="WA200010725" version="1.0.0.1" store="" storeType="OMEX"/>
  </we:alternateReferences>
  <we:properties>
    <we:property name="claude.fileId" value="&quot;d3f3800d-2f9e-4ad8-a861-bbab6fa198c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A487-0DDD-4732-AA05-B7A9D2BFE4B4}">
  <dimension ref="A1:AK9"/>
  <sheetViews>
    <sheetView tabSelected="1" zoomScale="85" zoomScaleNormal="85" workbookViewId="0">
      <selection activeCell="Z1" sqref="Z1"/>
    </sheetView>
  </sheetViews>
  <sheetFormatPr defaultRowHeight="15" x14ac:dyDescent="0.25"/>
  <cols>
    <col min="1" max="1" width="40.5703125" customWidth="1"/>
    <col min="2" max="2" width="47.28515625" customWidth="1"/>
    <col min="3" max="3" width="16" bestFit="1" customWidth="1"/>
    <col min="4" max="4" width="15.28515625" style="22" bestFit="1" customWidth="1"/>
    <col min="5" max="5" width="11.42578125" bestFit="1" customWidth="1"/>
    <col min="6" max="6" width="9.28515625" bestFit="1" customWidth="1"/>
    <col min="7" max="7" width="8.7109375" bestFit="1" customWidth="1"/>
    <col min="12" max="26" width="8.7109375" bestFit="1" customWidth="1"/>
    <col min="27" max="33" width="7.7109375" bestFit="1" customWidth="1"/>
    <col min="34" max="34" width="19.28515625" bestFit="1" customWidth="1"/>
    <col min="35" max="35" width="15.28515625" bestFit="1" customWidth="1"/>
    <col min="36" max="36" width="27.42578125" bestFit="1" customWidth="1"/>
    <col min="37" max="37" width="19.28515625" style="22" bestFit="1" customWidth="1"/>
  </cols>
  <sheetData>
    <row r="1" spans="1:37" ht="75.75" thickBot="1" x14ac:dyDescent="0.3">
      <c r="A1" s="1" t="s">
        <v>12</v>
      </c>
      <c r="B1" s="2" t="s">
        <v>0</v>
      </c>
      <c r="C1" s="7" t="s">
        <v>1</v>
      </c>
      <c r="D1" s="21" t="s">
        <v>11</v>
      </c>
      <c r="E1" s="2" t="s">
        <v>2</v>
      </c>
      <c r="F1" s="8">
        <v>46204</v>
      </c>
      <c r="G1" s="8">
        <v>46205</v>
      </c>
      <c r="H1" s="8">
        <v>46206</v>
      </c>
      <c r="I1" s="8">
        <v>46207</v>
      </c>
      <c r="J1" s="9">
        <v>46208</v>
      </c>
      <c r="K1" s="8">
        <v>46209</v>
      </c>
      <c r="L1" s="8">
        <v>46210</v>
      </c>
      <c r="M1" s="8">
        <v>46211</v>
      </c>
      <c r="N1" s="8">
        <v>46212</v>
      </c>
      <c r="O1" s="8">
        <v>46213</v>
      </c>
      <c r="P1" s="8">
        <v>46214</v>
      </c>
      <c r="Q1" s="9">
        <v>46215</v>
      </c>
      <c r="R1" s="8">
        <v>46216</v>
      </c>
      <c r="S1" s="8">
        <v>46217</v>
      </c>
      <c r="T1" s="8">
        <v>46218</v>
      </c>
      <c r="U1" s="8">
        <v>46219</v>
      </c>
      <c r="V1" s="8">
        <v>46220</v>
      </c>
      <c r="W1" s="8">
        <v>46221</v>
      </c>
      <c r="X1" s="9">
        <v>46222</v>
      </c>
      <c r="Y1" s="8">
        <v>46223</v>
      </c>
      <c r="Z1" s="8">
        <v>46224</v>
      </c>
      <c r="AA1" s="8">
        <v>46225</v>
      </c>
      <c r="AB1" s="8">
        <v>46226</v>
      </c>
      <c r="AC1" s="8">
        <v>46227</v>
      </c>
      <c r="AD1" s="8">
        <v>46228</v>
      </c>
      <c r="AE1" s="9">
        <v>46229</v>
      </c>
      <c r="AF1" s="8">
        <v>46230</v>
      </c>
      <c r="AG1" s="8">
        <v>46231</v>
      </c>
      <c r="AH1" s="15" t="s">
        <v>8</v>
      </c>
      <c r="AI1" s="16" t="s">
        <v>9</v>
      </c>
      <c r="AJ1" s="15" t="s">
        <v>20</v>
      </c>
      <c r="AK1" s="23" t="s">
        <v>22</v>
      </c>
    </row>
    <row r="2" spans="1:37" ht="21.75" thickTop="1" x14ac:dyDescent="0.35">
      <c r="A2" s="3" t="s">
        <v>13</v>
      </c>
      <c r="B2" s="4" t="s">
        <v>17</v>
      </c>
      <c r="C2" s="10">
        <v>47005234</v>
      </c>
      <c r="D2" s="10">
        <v>1976</v>
      </c>
      <c r="E2" s="11" t="s">
        <v>3</v>
      </c>
      <c r="F2" s="12" t="s">
        <v>4</v>
      </c>
      <c r="G2" s="12" t="s">
        <v>4</v>
      </c>
      <c r="H2" s="12" t="s">
        <v>4</v>
      </c>
      <c r="I2" s="12" t="s">
        <v>4</v>
      </c>
      <c r="J2" s="12" t="s">
        <v>5</v>
      </c>
      <c r="K2" s="12" t="s">
        <v>4</v>
      </c>
      <c r="L2" s="12" t="s">
        <v>4</v>
      </c>
      <c r="M2" s="12" t="s">
        <v>4</v>
      </c>
      <c r="N2" s="12" t="s">
        <v>4</v>
      </c>
      <c r="O2" s="12" t="s">
        <v>4</v>
      </c>
      <c r="P2" s="12" t="s">
        <v>4</v>
      </c>
      <c r="Q2" s="12" t="s">
        <v>5</v>
      </c>
      <c r="R2" s="12" t="s">
        <v>4</v>
      </c>
      <c r="S2" s="12" t="s">
        <v>4</v>
      </c>
      <c r="T2" s="12" t="s">
        <v>6</v>
      </c>
      <c r="U2" s="12" t="s">
        <v>4</v>
      </c>
      <c r="V2" s="12" t="s">
        <v>4</v>
      </c>
      <c r="W2" s="12" t="s">
        <v>4</v>
      </c>
      <c r="X2" s="12" t="s">
        <v>5</v>
      </c>
      <c r="Y2" s="12" t="s">
        <v>4</v>
      </c>
      <c r="Z2" s="12" t="s">
        <v>4</v>
      </c>
      <c r="AA2" s="12" t="s">
        <v>4</v>
      </c>
      <c r="AB2" s="12" t="s">
        <v>4</v>
      </c>
      <c r="AC2" s="12" t="s">
        <v>4</v>
      </c>
      <c r="AD2" s="12" t="s">
        <v>4</v>
      </c>
      <c r="AE2" s="12" t="s">
        <v>5</v>
      </c>
      <c r="AF2" s="12" t="s">
        <v>4</v>
      </c>
      <c r="AG2" s="12" t="s">
        <v>4</v>
      </c>
      <c r="AH2" s="17">
        <f>COUNTIF(F2:AG2,"N")*1+COUNTIF(F2:AG2,"HTÇ")*2.5+COUNTIF(F2:AG2,"BÇ")*2+COUNTIF(F2:AG2,"Üİ")*0</f>
        <v>35</v>
      </c>
      <c r="AI2" s="19">
        <f>SUM(F3:AG3)</f>
        <v>26</v>
      </c>
      <c r="AJ2" s="17">
        <v>10</v>
      </c>
      <c r="AK2" s="24">
        <v>40179</v>
      </c>
    </row>
    <row r="3" spans="1:37" ht="21" x14ac:dyDescent="0.35">
      <c r="A3" s="5" t="s">
        <v>13</v>
      </c>
      <c r="B3" s="6" t="s">
        <v>17</v>
      </c>
      <c r="C3" s="10">
        <v>47005234</v>
      </c>
      <c r="D3" s="10">
        <v>1976</v>
      </c>
      <c r="E3" s="13" t="s">
        <v>7</v>
      </c>
      <c r="F3" s="14">
        <v>2</v>
      </c>
      <c r="G3" s="14">
        <v>3</v>
      </c>
      <c r="H3" s="14"/>
      <c r="I3" s="14"/>
      <c r="J3" s="14">
        <v>3</v>
      </c>
      <c r="K3" s="14">
        <v>1</v>
      </c>
      <c r="L3" s="14"/>
      <c r="M3" s="14"/>
      <c r="N3" s="14">
        <v>1</v>
      </c>
      <c r="O3" s="14">
        <v>3</v>
      </c>
      <c r="P3" s="14">
        <v>3</v>
      </c>
      <c r="Q3" s="14">
        <v>3</v>
      </c>
      <c r="R3" s="14"/>
      <c r="S3" s="14"/>
      <c r="T3" s="14"/>
      <c r="U3" s="14"/>
      <c r="V3" s="14">
        <v>4</v>
      </c>
      <c r="W3" s="14"/>
      <c r="X3" s="14"/>
      <c r="Y3" s="14">
        <v>3</v>
      </c>
      <c r="Z3" s="14"/>
      <c r="AA3" s="14"/>
      <c r="AB3" s="14"/>
      <c r="AC3" s="14"/>
      <c r="AD3" s="14"/>
      <c r="AE3" s="14"/>
      <c r="AF3" s="14"/>
      <c r="AG3" s="14"/>
      <c r="AH3" s="18"/>
      <c r="AI3" s="20"/>
      <c r="AJ3" s="18"/>
      <c r="AK3" s="25"/>
    </row>
    <row r="4" spans="1:37" ht="21" x14ac:dyDescent="0.35">
      <c r="A4" s="3" t="s">
        <v>14</v>
      </c>
      <c r="B4" s="4" t="s">
        <v>18</v>
      </c>
      <c r="C4" s="10">
        <v>47049807</v>
      </c>
      <c r="D4" s="10">
        <v>1994</v>
      </c>
      <c r="E4" s="11" t="s">
        <v>3</v>
      </c>
      <c r="F4" s="12" t="s">
        <v>4</v>
      </c>
      <c r="G4" s="12" t="s">
        <v>4</v>
      </c>
      <c r="H4" s="12" t="s">
        <v>4</v>
      </c>
      <c r="I4" s="12" t="s">
        <v>4</v>
      </c>
      <c r="J4" s="12" t="s">
        <v>5</v>
      </c>
      <c r="K4" s="12" t="s">
        <v>4</v>
      </c>
      <c r="L4" s="12" t="s">
        <v>4</v>
      </c>
      <c r="M4" s="12" t="s">
        <v>4</v>
      </c>
      <c r="N4" s="12" t="s">
        <v>4</v>
      </c>
      <c r="O4" s="12" t="s">
        <v>4</v>
      </c>
      <c r="P4" s="12" t="s">
        <v>4</v>
      </c>
      <c r="Q4" s="12" t="s">
        <v>5</v>
      </c>
      <c r="R4" s="12" t="s">
        <v>4</v>
      </c>
      <c r="S4" s="12" t="s">
        <v>4</v>
      </c>
      <c r="T4" s="12" t="s">
        <v>6</v>
      </c>
      <c r="U4" s="12" t="s">
        <v>4</v>
      </c>
      <c r="V4" s="12" t="s">
        <v>4</v>
      </c>
      <c r="W4" s="12" t="s">
        <v>4</v>
      </c>
      <c r="X4" s="12" t="s">
        <v>5</v>
      </c>
      <c r="Y4" s="12" t="s">
        <v>10</v>
      </c>
      <c r="Z4" s="12" t="s">
        <v>10</v>
      </c>
      <c r="AA4" s="12" t="s">
        <v>10</v>
      </c>
      <c r="AB4" s="12" t="s">
        <v>10</v>
      </c>
      <c r="AC4" s="12" t="s">
        <v>10</v>
      </c>
      <c r="AD4" s="12" t="s">
        <v>10</v>
      </c>
      <c r="AE4" s="12" t="s">
        <v>10</v>
      </c>
      <c r="AF4" s="12" t="s">
        <v>10</v>
      </c>
      <c r="AG4" s="12" t="s">
        <v>10</v>
      </c>
      <c r="AH4" s="17">
        <f>COUNTIF(F4:AG4,"N")*1+COUNTIF(F4:AG4,"HTÇ")*2.5+COUNTIF(F4:AG4,"BÇ")*2+COUNTIF(F4:AG4,"Üİ")*0</f>
        <v>24.5</v>
      </c>
      <c r="AI4" s="19">
        <f>SUM(F5:AG5)</f>
        <v>16</v>
      </c>
      <c r="AJ4" s="17">
        <v>20</v>
      </c>
      <c r="AK4" s="24">
        <v>43831</v>
      </c>
    </row>
    <row r="5" spans="1:37" ht="21" x14ac:dyDescent="0.35">
      <c r="A5" s="5" t="s">
        <v>14</v>
      </c>
      <c r="B5" s="6" t="s">
        <v>18</v>
      </c>
      <c r="C5" s="10">
        <v>47049807</v>
      </c>
      <c r="D5" s="10">
        <v>1994</v>
      </c>
      <c r="E5" s="13" t="s">
        <v>7</v>
      </c>
      <c r="F5" s="14">
        <v>1</v>
      </c>
      <c r="G5" s="14">
        <v>1</v>
      </c>
      <c r="H5" s="14">
        <v>1</v>
      </c>
      <c r="I5" s="14"/>
      <c r="J5" s="14"/>
      <c r="K5" s="14">
        <v>1</v>
      </c>
      <c r="L5" s="14">
        <v>1</v>
      </c>
      <c r="M5" s="14"/>
      <c r="N5" s="14">
        <v>1</v>
      </c>
      <c r="O5" s="14"/>
      <c r="P5" s="14"/>
      <c r="Q5" s="14">
        <v>3</v>
      </c>
      <c r="R5" s="14"/>
      <c r="S5" s="14">
        <v>3</v>
      </c>
      <c r="T5" s="14"/>
      <c r="U5" s="14">
        <v>2</v>
      </c>
      <c r="V5" s="14"/>
      <c r="W5" s="14">
        <v>2</v>
      </c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8"/>
      <c r="AI5" s="20"/>
      <c r="AJ5" s="18"/>
      <c r="AK5" s="25"/>
    </row>
    <row r="6" spans="1:37" ht="21" x14ac:dyDescent="0.35">
      <c r="A6" s="3" t="s">
        <v>15</v>
      </c>
      <c r="B6" s="4" t="s">
        <v>19</v>
      </c>
      <c r="C6" s="10">
        <v>47063606</v>
      </c>
      <c r="D6" s="10">
        <v>2000</v>
      </c>
      <c r="E6" s="11" t="s">
        <v>3</v>
      </c>
      <c r="F6" s="12" t="s">
        <v>4</v>
      </c>
      <c r="G6" s="12" t="s">
        <v>4</v>
      </c>
      <c r="H6" s="12" t="s">
        <v>4</v>
      </c>
      <c r="I6" s="12" t="s">
        <v>4</v>
      </c>
      <c r="J6" s="12" t="s">
        <v>5</v>
      </c>
      <c r="K6" s="12" t="s">
        <v>4</v>
      </c>
      <c r="L6" s="12" t="s">
        <v>4</v>
      </c>
      <c r="M6" s="12" t="s">
        <v>4</v>
      </c>
      <c r="N6" s="12" t="s">
        <v>4</v>
      </c>
      <c r="O6" s="12" t="s">
        <v>4</v>
      </c>
      <c r="P6" s="12" t="s">
        <v>4</v>
      </c>
      <c r="Q6" s="12" t="s">
        <v>5</v>
      </c>
      <c r="R6" s="12" t="s">
        <v>4</v>
      </c>
      <c r="S6" s="12" t="s">
        <v>4</v>
      </c>
      <c r="T6" s="12" t="s">
        <v>6</v>
      </c>
      <c r="U6" s="12" t="s">
        <v>4</v>
      </c>
      <c r="V6" s="12" t="s">
        <v>4</v>
      </c>
      <c r="W6" s="12" t="s">
        <v>4</v>
      </c>
      <c r="X6" s="12" t="s">
        <v>5</v>
      </c>
      <c r="Y6" s="12" t="s">
        <v>4</v>
      </c>
      <c r="Z6" s="12" t="s">
        <v>4</v>
      </c>
      <c r="AA6" s="12" t="s">
        <v>4</v>
      </c>
      <c r="AB6" s="12" t="s">
        <v>4</v>
      </c>
      <c r="AC6" s="12" t="s">
        <v>4</v>
      </c>
      <c r="AD6" s="12" t="s">
        <v>4</v>
      </c>
      <c r="AE6" s="12" t="s">
        <v>4</v>
      </c>
      <c r="AF6" s="12" t="s">
        <v>4</v>
      </c>
      <c r="AG6" s="12" t="s">
        <v>4</v>
      </c>
      <c r="AH6" s="17">
        <f>COUNTIF(F6:AG6,"N")*1+COUNTIF(F6:AG6,"HTÇ")*2.5+COUNTIF(F6:AG6,"BÇ")*2+COUNTIF(F6:AG6,"Üİ")*0</f>
        <v>33.5</v>
      </c>
      <c r="AI6" s="19">
        <f>SUM(F7:AG7)</f>
        <v>25</v>
      </c>
      <c r="AJ6" s="17" t="s">
        <v>21</v>
      </c>
      <c r="AK6" s="24">
        <v>41640</v>
      </c>
    </row>
    <row r="7" spans="1:37" ht="21" x14ac:dyDescent="0.35">
      <c r="A7" s="5" t="s">
        <v>15</v>
      </c>
      <c r="B7" s="6" t="s">
        <v>19</v>
      </c>
      <c r="C7" s="10">
        <v>47063606</v>
      </c>
      <c r="D7" s="10">
        <v>2000</v>
      </c>
      <c r="E7" s="13" t="s">
        <v>7</v>
      </c>
      <c r="F7" s="14">
        <v>7</v>
      </c>
      <c r="G7" s="14"/>
      <c r="H7" s="14">
        <v>2</v>
      </c>
      <c r="I7" s="14"/>
      <c r="J7" s="14"/>
      <c r="K7" s="14">
        <v>1</v>
      </c>
      <c r="L7" s="14"/>
      <c r="M7" s="14">
        <v>1</v>
      </c>
      <c r="N7" s="14"/>
      <c r="O7" s="14">
        <v>2</v>
      </c>
      <c r="P7" s="14">
        <v>1</v>
      </c>
      <c r="Q7" s="14">
        <v>2</v>
      </c>
      <c r="R7" s="14">
        <v>1</v>
      </c>
      <c r="S7" s="14">
        <v>2</v>
      </c>
      <c r="T7" s="14"/>
      <c r="U7" s="14">
        <v>1</v>
      </c>
      <c r="V7" s="14">
        <v>2</v>
      </c>
      <c r="W7" s="14">
        <v>1</v>
      </c>
      <c r="X7" s="14">
        <v>2</v>
      </c>
      <c r="Y7" s="14"/>
      <c r="Z7" s="14"/>
      <c r="AA7" s="14"/>
      <c r="AB7" s="14"/>
      <c r="AC7" s="14"/>
      <c r="AD7" s="14"/>
      <c r="AE7" s="14"/>
      <c r="AF7" s="14"/>
      <c r="AG7" s="14"/>
      <c r="AH7" s="18"/>
      <c r="AI7" s="20"/>
      <c r="AJ7" s="18"/>
      <c r="AK7" s="25"/>
    </row>
    <row r="8" spans="1:37" ht="21" x14ac:dyDescent="0.35">
      <c r="A8" s="3" t="s">
        <v>16</v>
      </c>
      <c r="B8" s="4" t="s">
        <v>19</v>
      </c>
      <c r="C8" s="10">
        <v>47063420</v>
      </c>
      <c r="D8" s="10">
        <v>1989</v>
      </c>
      <c r="E8" s="11" t="s">
        <v>3</v>
      </c>
      <c r="F8" s="12" t="s">
        <v>4</v>
      </c>
      <c r="G8" s="12" t="s">
        <v>4</v>
      </c>
      <c r="H8" s="12" t="s">
        <v>4</v>
      </c>
      <c r="I8" s="12" t="s">
        <v>4</v>
      </c>
      <c r="J8" s="12" t="s">
        <v>5</v>
      </c>
      <c r="K8" s="12" t="s">
        <v>4</v>
      </c>
      <c r="L8" s="12" t="s">
        <v>4</v>
      </c>
      <c r="M8" s="12" t="s">
        <v>4</v>
      </c>
      <c r="N8" s="12" t="s">
        <v>4</v>
      </c>
      <c r="O8" s="12" t="s">
        <v>4</v>
      </c>
      <c r="P8" s="12" t="s">
        <v>4</v>
      </c>
      <c r="Q8" s="12" t="s">
        <v>5</v>
      </c>
      <c r="R8" s="12" t="s">
        <v>4</v>
      </c>
      <c r="S8" s="12" t="s">
        <v>4</v>
      </c>
      <c r="T8" s="12" t="s">
        <v>6</v>
      </c>
      <c r="U8" s="12" t="s">
        <v>4</v>
      </c>
      <c r="V8" s="12" t="s">
        <v>4</v>
      </c>
      <c r="W8" s="12" t="s">
        <v>4</v>
      </c>
      <c r="X8" s="12" t="s">
        <v>5</v>
      </c>
      <c r="Y8" s="12" t="s">
        <v>4</v>
      </c>
      <c r="Z8" s="12" t="s">
        <v>4</v>
      </c>
      <c r="AA8" s="12" t="s">
        <v>4</v>
      </c>
      <c r="AB8" s="12" t="s">
        <v>4</v>
      </c>
      <c r="AC8" s="12" t="s">
        <v>4</v>
      </c>
      <c r="AD8" s="12" t="s">
        <v>4</v>
      </c>
      <c r="AE8" s="12" t="s">
        <v>4</v>
      </c>
      <c r="AF8" s="12" t="s">
        <v>4</v>
      </c>
      <c r="AG8" s="12" t="s">
        <v>4</v>
      </c>
      <c r="AH8" s="17">
        <f>COUNTIF(F8:AG8,"N")*1+COUNTIF(F8:AG8,"HTÇ")*2.5+COUNTIF(F8:AG8,"BÇ")*2+COUNTIF(F8:AG8,"Üİ")*0</f>
        <v>33.5</v>
      </c>
      <c r="AI8" s="19">
        <f>SUM(F9:AG9)</f>
        <v>24</v>
      </c>
      <c r="AJ8" s="17">
        <v>25</v>
      </c>
      <c r="AK8" s="24">
        <v>46023</v>
      </c>
    </row>
    <row r="9" spans="1:37" ht="21" x14ac:dyDescent="0.35">
      <c r="A9" s="5" t="s">
        <v>16</v>
      </c>
      <c r="B9" s="6" t="s">
        <v>19</v>
      </c>
      <c r="C9" s="10">
        <v>47063420</v>
      </c>
      <c r="D9" s="10">
        <v>1989</v>
      </c>
      <c r="E9" s="13" t="s">
        <v>7</v>
      </c>
      <c r="F9" s="14">
        <v>1</v>
      </c>
      <c r="G9" s="14">
        <v>1</v>
      </c>
      <c r="H9" s="14"/>
      <c r="I9" s="14">
        <v>8</v>
      </c>
      <c r="J9" s="14">
        <v>1</v>
      </c>
      <c r="K9" s="14"/>
      <c r="L9" s="14">
        <v>1</v>
      </c>
      <c r="M9" s="14">
        <v>1</v>
      </c>
      <c r="N9" s="14"/>
      <c r="O9" s="14">
        <v>1</v>
      </c>
      <c r="P9" s="14">
        <v>1</v>
      </c>
      <c r="Q9" s="14"/>
      <c r="R9" s="14">
        <v>1</v>
      </c>
      <c r="S9" s="14">
        <v>1</v>
      </c>
      <c r="T9" s="14"/>
      <c r="U9" s="14">
        <v>1</v>
      </c>
      <c r="V9" s="14">
        <v>1</v>
      </c>
      <c r="W9" s="14"/>
      <c r="X9" s="14"/>
      <c r="Y9" s="14"/>
      <c r="Z9" s="14"/>
      <c r="AA9" s="14"/>
      <c r="AB9" s="14"/>
      <c r="AC9" s="14">
        <v>1</v>
      </c>
      <c r="AD9" s="14">
        <v>1</v>
      </c>
      <c r="AE9" s="14">
        <v>1</v>
      </c>
      <c r="AF9" s="14">
        <v>1</v>
      </c>
      <c r="AG9" s="14">
        <v>1</v>
      </c>
      <c r="AH9" s="18"/>
      <c r="AI9" s="20"/>
      <c r="AJ9" s="18"/>
      <c r="AK9" s="25"/>
    </row>
  </sheetData>
  <autoFilter ref="A1:AI7" xr:uid="{7FF5A487-0DDD-4732-AA05-B7A9D2BFE4B4}"/>
  <conditionalFormatting sqref="F1:AG1">
    <cfRule type="containsText" dxfId="18" priority="883" operator="containsText" text="ÇÖ">
      <formula>NOT(ISERROR(SEARCH("ÇÖ",F1)))</formula>
    </cfRule>
    <cfRule type="containsText" dxfId="17" priority="884" operator="containsText" text="F">
      <formula>NOT(ISERROR(SEARCH("F",F1)))</formula>
    </cfRule>
    <cfRule type="containsText" dxfId="16" priority="885" operator="containsText" text="X">
      <formula>NOT(ISERROR(SEARCH("X",F1)))</formula>
    </cfRule>
    <cfRule type="containsText" dxfId="15" priority="886" operator="containsText" text="BÇ">
      <formula>NOT(ISERROR(SEARCH("BÇ",F1)))</formula>
    </cfRule>
    <cfRule type="containsText" dxfId="14" priority="887" operator="containsText" text="N">
      <formula>NOT(ISERROR(SEARCH("N",F1)))</formula>
    </cfRule>
  </conditionalFormatting>
  <conditionalFormatting sqref="F2:AG2 F4:AG4 F6:AG6">
    <cfRule type="containsText" dxfId="13" priority="876" operator="containsText" text="ÇIKIŞ">
      <formula>NOT(ISERROR(SEARCH("ÇIKIŞ",F2)))</formula>
    </cfRule>
    <cfRule type="containsText" dxfId="12" priority="877" operator="containsText" text="E">
      <formula>NOT(ISERROR(SEARCH("E",F2)))</formula>
    </cfRule>
    <cfRule type="containsText" dxfId="11" priority="878" operator="containsText" text="B">
      <formula>NOT(ISERROR(SEARCH("B",F2)))</formula>
    </cfRule>
    <cfRule type="containsText" dxfId="10" priority="879" operator="containsText" text="HTÇ">
      <formula>NOT(ISERROR(SEARCH("HTÇ",F2)))</formula>
    </cfRule>
    <cfRule type="containsText" dxfId="9" priority="880" operator="containsText" text="HT">
      <formula>NOT(ISERROR(SEARCH("HT",F2)))</formula>
    </cfRule>
    <cfRule type="containsText" dxfId="8" priority="881" operator="containsText" text="Üİ">
      <formula>NOT(ISERROR(SEARCH("Üİ",F2)))</formula>
    </cfRule>
    <cfRule type="containsText" dxfId="7" priority="882" operator="containsText" text="N">
      <formula>NOT(ISERROR(SEARCH("N",F2)))</formula>
    </cfRule>
  </conditionalFormatting>
  <conditionalFormatting sqref="F8:AG8">
    <cfRule type="containsText" dxfId="6" priority="1" operator="containsText" text="ÇIKIŞ">
      <formula>NOT(ISERROR(SEARCH("ÇIKIŞ",F8)))</formula>
    </cfRule>
    <cfRule type="containsText" dxfId="5" priority="2" operator="containsText" text="E">
      <formula>NOT(ISERROR(SEARCH("E",F8)))</formula>
    </cfRule>
    <cfRule type="containsText" dxfId="4" priority="3" operator="containsText" text="B">
      <formula>NOT(ISERROR(SEARCH("B",F8)))</formula>
    </cfRule>
    <cfRule type="containsText" dxfId="3" priority="4" operator="containsText" text="HTÇ">
      <formula>NOT(ISERROR(SEARCH("HTÇ",F8)))</formula>
    </cfRule>
    <cfRule type="containsText" dxfId="2" priority="5" operator="containsText" text="HT">
      <formula>NOT(ISERROR(SEARCH("HT",F8)))</formula>
    </cfRule>
    <cfRule type="containsText" dxfId="1" priority="6" operator="containsText" text="Üİ">
      <formula>NOT(ISERROR(SEARCH("Üİ",F8)))</formula>
    </cfRule>
    <cfRule type="containsText" dxfId="0" priority="7" operator="containsText" text="N">
      <formula>NOT(ISERROR(SEARCH("N",F8)))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Düzcük</dc:creator>
  <cp:lastModifiedBy>mert düzcük</cp:lastModifiedBy>
  <dcterms:created xsi:type="dcterms:W3CDTF">2026-03-27T06:03:57Z</dcterms:created>
  <dcterms:modified xsi:type="dcterms:W3CDTF">2026-09-22T11:35:18Z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2026-03-27T06:19:49Z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29a4f0f1-74af-425e-96cb-1ee28437254d</vt:lpwstr>
  </property>
  <property fmtid="{D5CDD505-2E9C-101B-9397-08002B2CF9AE}" pid="8" name="MSIP_Label_d59f1712-2694-4f24-812c-3bb9bbb8b776_ContentBits">
    <vt:lpwstr>0</vt:lpwstr>
  </property>
  <property fmtid="{D5CDD505-2E9C-101B-9397-08002B2CF9AE}" pid="9" name="MSIP_Label_d59f1712-2694-4f24-812c-3bb9bbb8b776_Tag">
    <vt:lpwstr>10, 0, 1, 1</vt:lpwstr>
  </property>
</Properties>
</file>